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3"/>
    <sheet name="Sheet2" sheetId="2" state="visible" r:id="rId4"/>
    <sheet name="parsi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<sst xmlns="http://schemas.openxmlformats.org/spreadsheetml/2006/main" count="39" uniqueCount="19">
  <si>
    <t xml:space="preserve">1A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</si>
  <si>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</si>
  <si>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</si>
  <si>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</si>
  <si>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</si>
  <si>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</si>
  <si>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</si>
  <si>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</si>
  <si>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</si>
  <si>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1B</t>
  </si>
  <si>
    <t xml:space="preserve">SC</t>
  </si>
  <si>
    <t xml:space="preserve">mean SC</t>
  </si>
  <si>
    <t xml:space="preserve">sd SC</t>
  </si>
  <si>
    <t xml:space="preserve">treshold</t>
  </si>
  <si>
    <t xml:space="preserve">ST CTX</t>
  </si>
  <si>
    <t xml:space="preserve">blank corrected</t>
  </si>
  <si>
    <t xml:space="preserve">percentage inhibition</t>
  </si>
  <si>
    <t xml:space="preserve">average</t>
  </si>
  <si>
    <t xml:space="preserve">replicate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</si>
</sst>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27413E"/>
      <name val="Arial"/>
      <family val="2"/>
      <charset val="1"/>
    </font>
    <font>
      <sz val="10"/>
      <color rgb="FF000000"/>
      <name val="Arial"/>
      <family val="2"/>
      <charset val="1"/>
    </font>
    <font>
      <sz val="7"/>
      <color rgb="FF000000"/>
      <name val="Arial"/>
      <family val="2"/>
      <charset val="1"/>
    </font>
    <font>
      <b val="true"/>
      <sz val="11"/>
      <color theme="1"/>
      <name val="Aptos Narrow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99CCFF"/>
        <bgColor rgb="FF9CC5E5"/>
      </patternFill>
    </fill>
    <fill>
      <patternFill patternType="solid">
        <fgColor rgb="FFE8F3FF"/>
        <bgColor rgb="FFD8E9F9"/>
      </patternFill>
    </fill>
    <fill>
      <patternFill patternType="solid">
        <fgColor rgb="FFD8E9F9"/>
        <bgColor rgb="FFC9E0F4"/>
      </patternFill>
    </fill>
    <fill>
      <patternFill patternType="solid">
        <fgColor rgb="FFBAD7EF"/>
        <bgColor rgb="FFC9E0F4"/>
      </patternFill>
    </fill>
    <fill>
      <patternFill patternType="solid">
        <fgColor rgb="FF9CC5E5"/>
        <bgColor rgb="FF99CCFF"/>
      </patternFill>
    </fill>
    <fill>
      <patternFill patternType="solid">
        <fgColor rgb="FF60A0D1"/>
        <bgColor rgb="FF3385C2"/>
      </patternFill>
    </fill>
    <fill>
      <patternFill patternType="solid">
        <fgColor rgb="FF3385C2"/>
        <bgColor rgb="FF247CBD"/>
      </patternFill>
    </fill>
    <fill>
      <patternFill patternType="solid">
        <fgColor rgb="FF247CBD"/>
        <bgColor rgb="FF3385C2"/>
      </patternFill>
    </fill>
    <fill>
      <patternFill patternType="solid">
        <fgColor rgb="FFC9E0F4"/>
        <bgColor rgb="FFD8E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theme="5" tint="0.5999"/>
        </patternFill>
      </fill>
    </dxf>
    <dxf>
      <fill>
        <patternFill>
          <bgColor theme="9" tint="0.5999"/>
        </patternFill>
      </fill>
    </dxf>
  </dxfs>
  <colors>
    <indexedColors>
      <rgbColor rgb="FF000000"/>
      <rgbColor rgb="FFE8F3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CC5E5"/>
      <rgbColor rgb="FF808080"/>
      <rgbColor rgb="FF60A0D1"/>
      <rgbColor rgb="FF993366"/>
      <rgbColor rgb="FFFFFFCC"/>
      <rgbColor rgb="FFD8E9F9"/>
      <rgbColor rgb="FF660066"/>
      <rgbColor rgb="FFFF8080"/>
      <rgbColor rgb="FF247CBD"/>
      <rgbColor rgb="FFBAD7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9E0F4"/>
      <rgbColor rgb="FFB4E5A2"/>
      <rgbColor rgb="FFFFFF99"/>
      <rgbColor rgb="FF99CCFF"/>
      <rgbColor rgb="FFFF99CC"/>
      <rgbColor rgb="FFCC99FF"/>
      <rgbColor rgb="FFF6C6AD"/>
      <rgbColor rgb="FF3385C2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7413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4.25" customHeight="true" zeroHeight="false" outlineLevelRow="0" outlineLevelCol="0"/>
  <sheetData>
    <row r="1" customFormat="false" ht="16.4" hidden="false" customHeight="false" outlineLevel="0" collapsed="false">
      <c r="A1" s="1" t="s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  <c r="K1" s="2" t="n">
        <v>10</v>
      </c>
      <c r="L1" s="2" t="n">
        <v>11</v>
      </c>
      <c r="M1" s="2" t="n">
        <v>12</v>
      </c>
    </row>
    <row r="2" customFormat="false" ht="14.25" hidden="false" customHeight="false" outlineLevel="0" collapsed="false">
      <c r="A2" s="2" t="s">
        <v>1</v>
      </c>
      <c r="B2" s="3" t="n">
        <v>0.07</v>
      </c>
      <c r="C2" s="3" t="n">
        <v>0.083</v>
      </c>
      <c r="D2" s="3" t="n">
        <v>0.092</v>
      </c>
      <c r="E2" s="3" t="n">
        <v>0.091</v>
      </c>
      <c r="F2" s="3" t="n">
        <v>0.088</v>
      </c>
      <c r="G2" s="3" t="n">
        <v>0.091</v>
      </c>
      <c r="H2" s="3" t="n">
        <v>0.086</v>
      </c>
      <c r="I2" s="3" t="n">
        <v>0.086</v>
      </c>
      <c r="J2" s="3" t="n">
        <v>0.085</v>
      </c>
      <c r="K2" s="3" t="n">
        <v>0.085</v>
      </c>
      <c r="L2" s="3" t="n">
        <v>0.081</v>
      </c>
      <c r="M2" s="3" t="n">
        <v>0.083</v>
      </c>
      <c r="N2" s="4" t="n">
        <v>595</v>
      </c>
    </row>
    <row r="3" customFormat="false" ht="14.25" hidden="false" customHeight="false" outlineLevel="0" collapsed="false">
      <c r="A3" s="2" t="s">
        <v>2</v>
      </c>
      <c r="B3" s="3" t="n">
        <v>0.081</v>
      </c>
      <c r="C3" s="3" t="n">
        <v>0.12</v>
      </c>
      <c r="D3" s="3" t="n">
        <v>0.13</v>
      </c>
      <c r="E3" s="3" t="n">
        <v>0.14</v>
      </c>
      <c r="F3" s="5" t="n">
        <v>0.169</v>
      </c>
      <c r="G3" s="6" t="n">
        <v>0.417</v>
      </c>
      <c r="H3" s="7" t="n">
        <v>0.585</v>
      </c>
      <c r="I3" s="8" t="n">
        <v>1.004</v>
      </c>
      <c r="J3" s="9" t="n">
        <v>1.246</v>
      </c>
      <c r="K3" s="10" t="n">
        <v>1.342</v>
      </c>
      <c r="L3" s="10" t="n">
        <v>1.405</v>
      </c>
      <c r="M3" s="3" t="n">
        <v>0.089</v>
      </c>
      <c r="N3" s="4" t="n">
        <v>595</v>
      </c>
    </row>
    <row r="4" customFormat="false" ht="14.25" hidden="false" customHeight="false" outlineLevel="0" collapsed="false">
      <c r="A4" s="2" t="s">
        <v>3</v>
      </c>
      <c r="B4" s="3" t="n">
        <v>0.086</v>
      </c>
      <c r="C4" s="3" t="n">
        <v>0.11</v>
      </c>
      <c r="D4" s="3" t="n">
        <v>0.12</v>
      </c>
      <c r="E4" s="3" t="n">
        <v>0.136</v>
      </c>
      <c r="F4" s="5" t="n">
        <v>0.169</v>
      </c>
      <c r="G4" s="6" t="n">
        <v>0.426</v>
      </c>
      <c r="H4" s="7" t="n">
        <v>0.555</v>
      </c>
      <c r="I4" s="8" t="n">
        <v>0.996</v>
      </c>
      <c r="J4" s="9" t="n">
        <v>1.265</v>
      </c>
      <c r="K4" s="10" t="n">
        <v>1.387</v>
      </c>
      <c r="L4" s="10" t="n">
        <v>1.38</v>
      </c>
      <c r="M4" s="3" t="n">
        <v>0.082</v>
      </c>
      <c r="N4" s="4" t="n">
        <v>595</v>
      </c>
    </row>
    <row r="5" customFormat="false" ht="14.25" hidden="false" customHeight="false" outlineLevel="0" collapsed="false">
      <c r="A5" s="2" t="s">
        <v>4</v>
      </c>
      <c r="B5" s="3" t="n">
        <v>0.09</v>
      </c>
      <c r="C5" s="3" t="n">
        <v>0.119</v>
      </c>
      <c r="D5" s="3" t="n">
        <v>0.122</v>
      </c>
      <c r="E5" s="3" t="n">
        <v>0.134</v>
      </c>
      <c r="F5" s="5" t="n">
        <v>0.178</v>
      </c>
      <c r="G5" s="6" t="n">
        <v>0.38</v>
      </c>
      <c r="H5" s="7" t="n">
        <v>0.548</v>
      </c>
      <c r="I5" s="8" t="n">
        <v>0.95</v>
      </c>
      <c r="J5" s="9" t="n">
        <v>1.259</v>
      </c>
      <c r="K5" s="10" t="n">
        <v>1.391</v>
      </c>
      <c r="L5" s="10" t="n">
        <v>1.415</v>
      </c>
      <c r="M5" s="3" t="n">
        <v>0.084</v>
      </c>
      <c r="N5" s="4" t="n">
        <v>595</v>
      </c>
    </row>
    <row r="6" customFormat="false" ht="14.25" hidden="false" customHeight="false" outlineLevel="0" collapsed="false">
      <c r="A6" s="2" t="s">
        <v>5</v>
      </c>
      <c r="B6" s="3" t="n">
        <v>0.079</v>
      </c>
      <c r="C6" s="3" t="n">
        <v>0.094</v>
      </c>
      <c r="D6" s="3" t="n">
        <v>0.092</v>
      </c>
      <c r="E6" s="3" t="n">
        <v>0.091</v>
      </c>
      <c r="F6" s="3" t="n">
        <v>0.095</v>
      </c>
      <c r="G6" s="3" t="n">
        <v>0.094</v>
      </c>
      <c r="H6" s="3" t="n">
        <v>0.095</v>
      </c>
      <c r="I6" s="3" t="n">
        <v>0.096</v>
      </c>
      <c r="J6" s="3" t="n">
        <v>0.096</v>
      </c>
      <c r="K6" s="3" t="n">
        <v>0.094</v>
      </c>
      <c r="L6" s="3" t="n">
        <v>0.094</v>
      </c>
      <c r="M6" s="3" t="n">
        <v>0.103</v>
      </c>
      <c r="N6" s="4" t="n">
        <v>595</v>
      </c>
    </row>
    <row r="7" customFormat="false" ht="14.25" hidden="false" customHeight="false" outlineLevel="0" collapsed="false">
      <c r="A7" s="2" t="s">
        <v>6</v>
      </c>
      <c r="B7" s="3" t="n">
        <v>0.047</v>
      </c>
      <c r="C7" s="3" t="n">
        <v>0.047</v>
      </c>
      <c r="D7" s="3" t="n">
        <v>0.048</v>
      </c>
      <c r="E7" s="3" t="n">
        <v>0.048</v>
      </c>
      <c r="F7" s="3" t="n">
        <v>0.047</v>
      </c>
      <c r="G7" s="3" t="n">
        <v>0.047</v>
      </c>
      <c r="H7" s="3" t="n">
        <v>0.047</v>
      </c>
      <c r="I7" s="3" t="n">
        <v>0.046</v>
      </c>
      <c r="J7" s="3" t="n">
        <v>0.046</v>
      </c>
      <c r="K7" s="3" t="n">
        <v>0.046</v>
      </c>
      <c r="L7" s="3" t="n">
        <v>0.046</v>
      </c>
      <c r="M7" s="3" t="n">
        <v>0.047</v>
      </c>
      <c r="N7" s="4" t="n">
        <v>595</v>
      </c>
    </row>
    <row r="8" customFormat="false" ht="14.25" hidden="false" customHeight="false" outlineLevel="0" collapsed="false">
      <c r="A8" s="2" t="s">
        <v>7</v>
      </c>
      <c r="B8" s="3" t="n">
        <v>0.048</v>
      </c>
      <c r="C8" s="3" t="n">
        <v>0.047</v>
      </c>
      <c r="D8" s="3" t="n">
        <v>0.048</v>
      </c>
      <c r="E8" s="3" t="n">
        <v>0.047</v>
      </c>
      <c r="F8" s="3" t="n">
        <v>0.047</v>
      </c>
      <c r="G8" s="3" t="n">
        <v>0.047</v>
      </c>
      <c r="H8" s="3" t="n">
        <v>0.047</v>
      </c>
      <c r="I8" s="3" t="n">
        <v>0.047</v>
      </c>
      <c r="J8" s="3" t="n">
        <v>0.047</v>
      </c>
      <c r="K8" s="3" t="n">
        <v>0.047</v>
      </c>
      <c r="L8" s="3" t="n">
        <v>0.047</v>
      </c>
      <c r="M8" s="3" t="n">
        <v>0.047</v>
      </c>
      <c r="N8" s="4" t="n">
        <v>595</v>
      </c>
    </row>
    <row r="9" customFormat="false" ht="14.25" hidden="false" customHeight="false" outlineLevel="0" collapsed="false">
      <c r="A9" s="2" t="s">
        <v>8</v>
      </c>
      <c r="B9" s="3" t="n">
        <v>0.045</v>
      </c>
      <c r="C9" s="3" t="n">
        <v>0.047</v>
      </c>
      <c r="D9" s="3" t="n">
        <v>0.046</v>
      </c>
      <c r="E9" s="3" t="n">
        <v>0.045</v>
      </c>
      <c r="F9" s="3" t="n">
        <v>0.045</v>
      </c>
      <c r="G9" s="3" t="n">
        <v>0.046</v>
      </c>
      <c r="H9" s="3" t="n">
        <v>0.046</v>
      </c>
      <c r="I9" s="3" t="n">
        <v>0.044</v>
      </c>
      <c r="J9" s="3" t="n">
        <v>0.046</v>
      </c>
      <c r="K9" s="3" t="n">
        <v>0.046</v>
      </c>
      <c r="L9" s="3" t="n">
        <v>0.047</v>
      </c>
      <c r="M9" s="3" t="n">
        <v>0.046</v>
      </c>
      <c r="N9" s="4" t="n">
        <v>595</v>
      </c>
    </row>
    <row r="11" customFormat="false" ht="16.4" hidden="false" customHeight="false" outlineLevel="0" collapsed="false">
      <c r="A11" s="1" t="s">
        <v>9</v>
      </c>
      <c r="B11" s="2" t="n">
        <v>1</v>
      </c>
      <c r="C11" s="2" t="n">
        <v>2</v>
      </c>
      <c r="D11" s="2" t="n">
        <v>3</v>
      </c>
      <c r="E11" s="2" t="n">
        <v>4</v>
      </c>
      <c r="F11" s="2" t="n">
        <v>5</v>
      </c>
      <c r="G11" s="2" t="n">
        <v>6</v>
      </c>
      <c r="H11" s="2" t="n">
        <v>7</v>
      </c>
      <c r="I11" s="2" t="n">
        <v>8</v>
      </c>
      <c r="J11" s="2" t="n">
        <v>9</v>
      </c>
      <c r="K11" s="2" t="n">
        <v>10</v>
      </c>
      <c r="L11" s="2" t="n">
        <v>11</v>
      </c>
      <c r="M11" s="2" t="n">
        <v>12</v>
      </c>
    </row>
    <row r="12" customFormat="false" ht="14.25" hidden="false" customHeight="false" outlineLevel="0" collapsed="false">
      <c r="A12" s="2" t="s">
        <v>1</v>
      </c>
      <c r="B12" s="3" t="n">
        <v>0.073</v>
      </c>
      <c r="C12" s="3" t="n">
        <v>0.078</v>
      </c>
      <c r="D12" s="3" t="n">
        <v>0.165</v>
      </c>
      <c r="E12" s="3" t="n">
        <v>0.075</v>
      </c>
      <c r="F12" s="3" t="n">
        <v>0.074</v>
      </c>
      <c r="G12" s="3" t="n">
        <v>0.075</v>
      </c>
      <c r="H12" s="3" t="n">
        <v>0.075</v>
      </c>
      <c r="I12" s="3" t="n">
        <v>0.079</v>
      </c>
      <c r="J12" s="3" t="n">
        <v>0.074</v>
      </c>
      <c r="K12" s="3" t="n">
        <v>0.076</v>
      </c>
      <c r="L12" s="3" t="n">
        <v>0.075</v>
      </c>
      <c r="M12" s="3" t="n">
        <v>0.075</v>
      </c>
      <c r="N12" s="4" t="n">
        <v>595</v>
      </c>
    </row>
    <row r="13" customFormat="false" ht="14.25" hidden="false" customHeight="false" outlineLevel="0" collapsed="false">
      <c r="A13" s="2" t="s">
        <v>2</v>
      </c>
      <c r="B13" s="10" t="n">
        <v>1.538</v>
      </c>
      <c r="C13" s="10" t="n">
        <v>1.473</v>
      </c>
      <c r="D13" s="10" t="n">
        <v>1.502</v>
      </c>
      <c r="E13" s="10" t="n">
        <v>1.499</v>
      </c>
      <c r="F13" s="10" t="n">
        <v>1.52</v>
      </c>
      <c r="G13" s="10" t="n">
        <v>1.49</v>
      </c>
      <c r="H13" s="9" t="n">
        <v>1.438</v>
      </c>
      <c r="I13" s="10" t="n">
        <v>1.485</v>
      </c>
      <c r="J13" s="10" t="n">
        <v>1.468</v>
      </c>
      <c r="K13" s="9" t="n">
        <v>1.436</v>
      </c>
      <c r="L13" s="10" t="n">
        <v>1.505</v>
      </c>
      <c r="M13" s="3" t="n">
        <v>0.076</v>
      </c>
      <c r="N13" s="4" t="n">
        <v>595</v>
      </c>
    </row>
    <row r="14" customFormat="false" ht="14.25" hidden="false" customHeight="false" outlineLevel="0" collapsed="false">
      <c r="A14" s="2" t="s">
        <v>3</v>
      </c>
      <c r="B14" s="10" t="n">
        <v>1.493</v>
      </c>
      <c r="C14" s="10" t="n">
        <v>1.51</v>
      </c>
      <c r="D14" s="10" t="n">
        <v>1.502</v>
      </c>
      <c r="E14" s="10" t="n">
        <v>1.526</v>
      </c>
      <c r="F14" s="10" t="n">
        <v>1.495</v>
      </c>
      <c r="G14" s="10" t="n">
        <v>1.514</v>
      </c>
      <c r="H14" s="10" t="n">
        <v>1.506</v>
      </c>
      <c r="I14" s="10" t="n">
        <v>1.502</v>
      </c>
      <c r="J14" s="10" t="n">
        <v>1.496</v>
      </c>
      <c r="K14" s="10" t="n">
        <v>1.483</v>
      </c>
      <c r="L14" s="10" t="n">
        <v>1.544</v>
      </c>
      <c r="M14" s="3" t="n">
        <v>0.159</v>
      </c>
      <c r="N14" s="4" t="n">
        <v>595</v>
      </c>
    </row>
    <row r="15" customFormat="false" ht="14.25" hidden="false" customHeight="false" outlineLevel="0" collapsed="false">
      <c r="A15" s="2" t="s">
        <v>4</v>
      </c>
      <c r="B15" s="10" t="n">
        <v>1.53</v>
      </c>
      <c r="C15" s="10" t="n">
        <v>1.551</v>
      </c>
      <c r="D15" s="10" t="n">
        <v>1.538</v>
      </c>
      <c r="E15" s="10" t="n">
        <v>1.526</v>
      </c>
      <c r="F15" s="10" t="n">
        <v>1.552</v>
      </c>
      <c r="G15" s="10" t="n">
        <v>1.545</v>
      </c>
      <c r="H15" s="10" t="n">
        <v>1.51</v>
      </c>
      <c r="I15" s="10" t="n">
        <v>1.498</v>
      </c>
      <c r="J15" s="10" t="n">
        <v>1.507</v>
      </c>
      <c r="K15" s="10" t="n">
        <v>1.542</v>
      </c>
      <c r="L15" s="10" t="n">
        <v>1.526</v>
      </c>
      <c r="M15" s="3" t="n">
        <v>0.102</v>
      </c>
      <c r="N15" s="4" t="n">
        <v>595</v>
      </c>
    </row>
    <row r="16" customFormat="false" ht="14.25" hidden="false" customHeight="false" outlineLevel="0" collapsed="false">
      <c r="A16" s="2" t="s">
        <v>5</v>
      </c>
      <c r="B16" s="3" t="n">
        <v>0.123</v>
      </c>
      <c r="C16" s="3" t="n">
        <v>0.127</v>
      </c>
      <c r="D16" s="3" t="n">
        <v>0.166</v>
      </c>
      <c r="E16" s="3" t="n">
        <v>0.12</v>
      </c>
      <c r="F16" s="3" t="n">
        <v>0.123</v>
      </c>
      <c r="G16" s="3" t="n">
        <v>0.153</v>
      </c>
      <c r="H16" s="5" t="n">
        <v>0.232</v>
      </c>
      <c r="I16" s="5" t="n">
        <v>0.219</v>
      </c>
      <c r="J16" s="5" t="n">
        <v>0.215</v>
      </c>
      <c r="K16" s="11" t="n">
        <v>0.364</v>
      </c>
      <c r="L16" s="5" t="n">
        <v>0.212</v>
      </c>
      <c r="M16" s="11" t="n">
        <v>0.31</v>
      </c>
      <c r="N16" s="4" t="n">
        <v>595</v>
      </c>
    </row>
    <row r="17" customFormat="false" ht="14.25" hidden="false" customHeight="false" outlineLevel="0" collapsed="false">
      <c r="A17" s="2" t="s">
        <v>6</v>
      </c>
      <c r="B17" s="3" t="n">
        <v>0.081</v>
      </c>
      <c r="C17" s="3" t="n">
        <v>0.083</v>
      </c>
      <c r="D17" s="3" t="n">
        <v>0.083</v>
      </c>
      <c r="E17" s="3" t="n">
        <v>0.117</v>
      </c>
      <c r="F17" s="3" t="n">
        <v>0.088</v>
      </c>
      <c r="G17" s="3" t="n">
        <v>0.079</v>
      </c>
      <c r="H17" s="3" t="n">
        <v>0.079</v>
      </c>
      <c r="I17" s="3" t="n">
        <v>0.123</v>
      </c>
      <c r="J17" s="3" t="n">
        <v>0.126</v>
      </c>
      <c r="K17" s="3" t="n">
        <v>0.092</v>
      </c>
      <c r="L17" s="3" t="n">
        <v>0.085</v>
      </c>
      <c r="M17" s="3" t="n">
        <v>0.081</v>
      </c>
      <c r="N17" s="4" t="n">
        <v>595</v>
      </c>
    </row>
    <row r="18" customFormat="false" ht="14.25" hidden="false" customHeight="false" outlineLevel="0" collapsed="false">
      <c r="A18" s="2" t="s">
        <v>7</v>
      </c>
      <c r="B18" s="3" t="n">
        <v>0.084</v>
      </c>
      <c r="C18" s="3" t="n">
        <v>0.079</v>
      </c>
      <c r="D18" s="3" t="n">
        <v>0.082</v>
      </c>
      <c r="E18" s="3" t="n">
        <v>0.08</v>
      </c>
      <c r="F18" s="3" t="n">
        <v>0.078</v>
      </c>
      <c r="G18" s="3" t="n">
        <v>0.078</v>
      </c>
      <c r="H18" s="3" t="n">
        <v>0.078</v>
      </c>
      <c r="I18" s="3" t="n">
        <v>0.082</v>
      </c>
      <c r="J18" s="3" t="n">
        <v>0.078</v>
      </c>
      <c r="K18" s="3" t="n">
        <v>0.078</v>
      </c>
      <c r="L18" s="3" t="n">
        <v>0.078</v>
      </c>
      <c r="M18" s="3" t="n">
        <v>0.078</v>
      </c>
      <c r="N18" s="4" t="n">
        <v>595</v>
      </c>
    </row>
    <row r="19" customFormat="false" ht="14.25" hidden="false" customHeight="false" outlineLevel="0" collapsed="false">
      <c r="A19" s="2" t="s">
        <v>8</v>
      </c>
      <c r="B19" s="3" t="n">
        <v>0.075</v>
      </c>
      <c r="C19" s="3" t="n">
        <v>0.077</v>
      </c>
      <c r="D19" s="3" t="n">
        <v>0.08</v>
      </c>
      <c r="E19" s="3" t="n">
        <v>0.076</v>
      </c>
      <c r="F19" s="3" t="n">
        <v>0.076</v>
      </c>
      <c r="G19" s="3" t="n">
        <v>0.077</v>
      </c>
      <c r="H19" s="3" t="n">
        <v>0.076</v>
      </c>
      <c r="I19" s="3" t="n">
        <v>0.076</v>
      </c>
      <c r="J19" s="3" t="n">
        <v>0.077</v>
      </c>
      <c r="K19" s="3" t="n">
        <v>0.078</v>
      </c>
      <c r="L19" s="3" t="n">
        <v>0.078</v>
      </c>
      <c r="M19" s="3" t="n">
        <v>0.077</v>
      </c>
      <c r="N19" s="4" t="n">
        <v>595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8"/>
  <sheetViews>
    <sheetView showFormulas="false" showGridLines="true" showRowColHeaders="true" showZeros="true" rightToLeft="false" tabSelected="false" showOutlineSymbols="true" defaultGridColor="true" view="normal" topLeftCell="A1" colorId="64" zoomScale="59" zoomScaleNormal="59" zoomScalePageLayoutView="100" workbookViewId="0">
      <selection pane="topLeft" activeCell="A12" activeCellId="0" sqref="A12"/>
    </sheetView>
  </sheetViews>
  <sheetFormatPr defaultColWidth="8.59765625" defaultRowHeight="14.25" customHeight="true" zeroHeight="false" outlineLevelRow="0" outlineLevelCol="0"/>
  <sheetData>
    <row r="1" customFormat="false" ht="14.25" hidden="false" customHeight="false" outlineLevel="0" collapsed="false">
      <c r="C1" s="0" t="n">
        <v>128</v>
      </c>
      <c r="D1" s="0" t="n">
        <f aca="false">C1/2</f>
        <v>64</v>
      </c>
      <c r="E1" s="0" t="n">
        <f aca="false">D1/2</f>
        <v>32</v>
      </c>
      <c r="F1" s="0" t="n">
        <f aca="false">E1/2</f>
        <v>16</v>
      </c>
      <c r="G1" s="0" t="n">
        <f aca="false">F1/2</f>
        <v>8</v>
      </c>
      <c r="H1" s="0" t="n">
        <f aca="false">G1/2</f>
        <v>4</v>
      </c>
      <c r="I1" s="0" t="n">
        <f aca="false">H1/2</f>
        <v>2</v>
      </c>
      <c r="J1" s="0" t="n">
        <f aca="false">I1/2</f>
        <v>1</v>
      </c>
      <c r="K1" s="0" t="n">
        <f aca="false">J1/2</f>
        <v>0.5</v>
      </c>
      <c r="L1" s="0" t="n">
        <f aca="false">K1/2</f>
        <v>0.25</v>
      </c>
      <c r="M1" s="0" t="n">
        <f aca="false">L1/2</f>
        <v>0.125</v>
      </c>
      <c r="N1" s="0" t="n">
        <f aca="false">M1/2</f>
        <v>0.0625</v>
      </c>
      <c r="O1" s="0" t="n">
        <f aca="false">N1/2</f>
        <v>0.03125</v>
      </c>
      <c r="P1" s="0" t="n">
        <f aca="false">O1/2</f>
        <v>0.015625</v>
      </c>
      <c r="Q1" s="0" t="n">
        <f aca="false">P1/2</f>
        <v>0.0078125</v>
      </c>
      <c r="R1" s="0" t="n">
        <f aca="false">Q1/2</f>
        <v>0.00390625</v>
      </c>
      <c r="S1" s="0" t="n">
        <f aca="false">R1/2</f>
        <v>0.001953125</v>
      </c>
      <c r="T1" s="0" t="n">
        <f aca="false">S1/2</f>
        <v>0.0009765625</v>
      </c>
      <c r="U1" s="0" t="n">
        <f aca="false">T1/2</f>
        <v>0.00048828125</v>
      </c>
      <c r="V1" s="0" t="n">
        <f aca="false">U1/2</f>
        <v>0.000244140625</v>
      </c>
      <c r="W1" s="0" t="n">
        <f aca="false">V1/2</f>
        <v>0.0001220703125</v>
      </c>
      <c r="X1" s="0" t="n">
        <v>0</v>
      </c>
      <c r="Z1" s="0" t="s">
        <v>10</v>
      </c>
      <c r="AC1" s="0" t="s">
        <v>11</v>
      </c>
      <c r="AD1" s="0" t="s">
        <v>12</v>
      </c>
      <c r="AE1" s="0" t="s">
        <v>13</v>
      </c>
    </row>
    <row r="2" customFormat="false" ht="14.25" hidden="false" customHeight="false" outlineLevel="0" collapsed="false">
      <c r="A2" s="0" t="s">
        <v>14</v>
      </c>
      <c r="B2" s="0" t="n">
        <v>1</v>
      </c>
      <c r="C2" s="3" t="n">
        <v>0.081</v>
      </c>
      <c r="D2" s="3" t="n">
        <v>0.12</v>
      </c>
      <c r="E2" s="3" t="n">
        <v>0.13</v>
      </c>
      <c r="F2" s="3" t="n">
        <v>0.14</v>
      </c>
      <c r="G2" s="5" t="n">
        <v>0.169</v>
      </c>
      <c r="H2" s="6" t="n">
        <v>0.417</v>
      </c>
      <c r="I2" s="7" t="n">
        <v>0.585</v>
      </c>
      <c r="J2" s="8" t="n">
        <v>1.004</v>
      </c>
      <c r="K2" s="9" t="n">
        <v>1.246</v>
      </c>
      <c r="L2" s="10" t="n">
        <v>1.342</v>
      </c>
      <c r="M2" s="10" t="n">
        <v>1.405</v>
      </c>
      <c r="N2" s="10" t="n">
        <v>1.538</v>
      </c>
      <c r="O2" s="10" t="n">
        <v>1.473</v>
      </c>
      <c r="P2" s="10" t="n">
        <v>1.502</v>
      </c>
      <c r="Q2" s="10" t="n">
        <v>1.499</v>
      </c>
      <c r="R2" s="10" t="n">
        <v>1.52</v>
      </c>
      <c r="S2" s="10" t="n">
        <v>1.49</v>
      </c>
      <c r="T2" s="9" t="n">
        <v>1.438</v>
      </c>
      <c r="U2" s="10" t="n">
        <v>1.485</v>
      </c>
      <c r="V2" s="10" t="n">
        <v>1.468</v>
      </c>
      <c r="W2" s="9" t="n">
        <v>1.436</v>
      </c>
      <c r="X2" s="10" t="n">
        <v>1.505</v>
      </c>
      <c r="Z2" s="3" t="n">
        <v>0.07</v>
      </c>
      <c r="AA2" s="3" t="n">
        <v>0.073</v>
      </c>
      <c r="AC2" s="0" t="n">
        <f aca="false">AVERAGE(Z2:AA13)</f>
        <v>0.0839583333333333</v>
      </c>
      <c r="AD2" s="0" t="n">
        <f aca="false">_xlfn.STDEV.S(Z2:AA13)</f>
        <v>0.0184237067664054</v>
      </c>
      <c r="AE2" s="0" t="n">
        <f aca="false">10*AD2</f>
        <v>0.184237067664054</v>
      </c>
    </row>
    <row r="3" customFormat="false" ht="14.25" hidden="false" customHeight="false" outlineLevel="0" collapsed="false">
      <c r="A3" s="0" t="s">
        <v>14</v>
      </c>
      <c r="B3" s="0" t="n">
        <v>2</v>
      </c>
      <c r="C3" s="3" t="n">
        <v>0.086</v>
      </c>
      <c r="D3" s="3" t="n">
        <v>0.11</v>
      </c>
      <c r="E3" s="3" t="n">
        <v>0.12</v>
      </c>
      <c r="F3" s="3" t="n">
        <v>0.136</v>
      </c>
      <c r="G3" s="5" t="n">
        <v>0.169</v>
      </c>
      <c r="H3" s="6" t="n">
        <v>0.426</v>
      </c>
      <c r="I3" s="7" t="n">
        <v>0.555</v>
      </c>
      <c r="J3" s="8" t="n">
        <v>0.996</v>
      </c>
      <c r="K3" s="9" t="n">
        <v>1.265</v>
      </c>
      <c r="L3" s="10" t="n">
        <v>1.387</v>
      </c>
      <c r="M3" s="10" t="n">
        <v>1.38</v>
      </c>
      <c r="N3" s="10" t="n">
        <v>1.493</v>
      </c>
      <c r="O3" s="10" t="n">
        <v>1.51</v>
      </c>
      <c r="P3" s="10" t="n">
        <v>1.502</v>
      </c>
      <c r="Q3" s="10" t="n">
        <v>1.526</v>
      </c>
      <c r="R3" s="10" t="n">
        <v>1.495</v>
      </c>
      <c r="S3" s="10" t="n">
        <v>1.514</v>
      </c>
      <c r="T3" s="10" t="n">
        <v>1.506</v>
      </c>
      <c r="U3" s="10" t="n">
        <v>1.502</v>
      </c>
      <c r="V3" s="10" t="n">
        <v>1.496</v>
      </c>
      <c r="W3" s="10" t="n">
        <v>1.483</v>
      </c>
      <c r="X3" s="10" t="n">
        <v>1.544</v>
      </c>
      <c r="Z3" s="3" t="n">
        <v>0.083</v>
      </c>
      <c r="AA3" s="3" t="n">
        <v>0.078</v>
      </c>
    </row>
    <row r="4" customFormat="false" ht="14.25" hidden="false" customHeight="false" outlineLevel="0" collapsed="false">
      <c r="A4" s="0" t="s">
        <v>14</v>
      </c>
      <c r="B4" s="0" t="n">
        <v>3</v>
      </c>
      <c r="C4" s="3" t="n">
        <v>0.09</v>
      </c>
      <c r="D4" s="3" t="n">
        <v>0.119</v>
      </c>
      <c r="E4" s="3" t="n">
        <v>0.122</v>
      </c>
      <c r="F4" s="3" t="n">
        <v>0.134</v>
      </c>
      <c r="G4" s="5" t="n">
        <v>0.178</v>
      </c>
      <c r="H4" s="6" t="n">
        <v>0.38</v>
      </c>
      <c r="I4" s="7" t="n">
        <v>0.548</v>
      </c>
      <c r="J4" s="8" t="n">
        <v>0.95</v>
      </c>
      <c r="K4" s="9" t="n">
        <v>1.259</v>
      </c>
      <c r="L4" s="10" t="n">
        <v>1.391</v>
      </c>
      <c r="M4" s="10" t="n">
        <v>1.415</v>
      </c>
      <c r="N4" s="10" t="n">
        <v>1.53</v>
      </c>
      <c r="O4" s="10" t="n">
        <v>1.551</v>
      </c>
      <c r="P4" s="10" t="n">
        <v>1.538</v>
      </c>
      <c r="Q4" s="10" t="n">
        <v>1.526</v>
      </c>
      <c r="R4" s="10" t="n">
        <v>1.552</v>
      </c>
      <c r="S4" s="10" t="n">
        <v>1.545</v>
      </c>
      <c r="T4" s="10" t="n">
        <v>1.51</v>
      </c>
      <c r="U4" s="10" t="n">
        <v>1.498</v>
      </c>
      <c r="V4" s="10" t="n">
        <v>1.507</v>
      </c>
      <c r="W4" s="10" t="n">
        <v>1.542</v>
      </c>
      <c r="X4" s="10" t="n">
        <v>1.526</v>
      </c>
      <c r="Z4" s="3" t="n">
        <v>0.092</v>
      </c>
      <c r="AA4" s="3" t="n">
        <v>0.165</v>
      </c>
    </row>
    <row r="5" customFormat="false" ht="14.25" hidden="false" customHeight="false" outlineLevel="0" collapsed="false">
      <c r="Z5" s="3" t="n">
        <v>0.091</v>
      </c>
      <c r="AA5" s="3" t="n">
        <v>0.075</v>
      </c>
    </row>
    <row r="6" customFormat="false" ht="14.25" hidden="false" customHeight="false" outlineLevel="0" collapsed="false">
      <c r="A6" s="12" t="s">
        <v>15</v>
      </c>
      <c r="C6" s="0" t="n">
        <v>128</v>
      </c>
      <c r="D6" s="0" t="n">
        <f aca="false">C6/2</f>
        <v>64</v>
      </c>
      <c r="E6" s="0" t="n">
        <f aca="false">D6/2</f>
        <v>32</v>
      </c>
      <c r="F6" s="0" t="n">
        <f aca="false">E6/2</f>
        <v>16</v>
      </c>
      <c r="G6" s="0" t="n">
        <f aca="false">F6/2</f>
        <v>8</v>
      </c>
      <c r="H6" s="0" t="n">
        <f aca="false">G6/2</f>
        <v>4</v>
      </c>
      <c r="I6" s="0" t="n">
        <f aca="false">H6/2</f>
        <v>2</v>
      </c>
      <c r="J6" s="0" t="n">
        <f aca="false">I6/2</f>
        <v>1</v>
      </c>
      <c r="K6" s="0" t="n">
        <f aca="false">J6/2</f>
        <v>0.5</v>
      </c>
      <c r="L6" s="0" t="n">
        <f aca="false">K6/2</f>
        <v>0.25</v>
      </c>
      <c r="M6" s="0" t="n">
        <f aca="false">L6/2</f>
        <v>0.125</v>
      </c>
      <c r="N6" s="0" t="n">
        <f aca="false">M6/2</f>
        <v>0.0625</v>
      </c>
      <c r="O6" s="0" t="n">
        <f aca="false">N6/2</f>
        <v>0.03125</v>
      </c>
      <c r="P6" s="0" t="n">
        <f aca="false">O6/2</f>
        <v>0.015625</v>
      </c>
      <c r="Q6" s="0" t="n">
        <f aca="false">P6/2</f>
        <v>0.0078125</v>
      </c>
      <c r="R6" s="0" t="n">
        <f aca="false">Q6/2</f>
        <v>0.00390625</v>
      </c>
      <c r="S6" s="0" t="n">
        <f aca="false">R6/2</f>
        <v>0.001953125</v>
      </c>
      <c r="T6" s="0" t="n">
        <f aca="false">S6/2</f>
        <v>0.0009765625</v>
      </c>
      <c r="U6" s="0" t="n">
        <f aca="false">T6/2</f>
        <v>0.00048828125</v>
      </c>
      <c r="V6" s="0" t="n">
        <f aca="false">U6/2</f>
        <v>0.000244140625</v>
      </c>
      <c r="W6" s="0" t="n">
        <f aca="false">V6/2</f>
        <v>0.0001220703125</v>
      </c>
      <c r="X6" s="0" t="n">
        <v>0</v>
      </c>
      <c r="Z6" s="3" t="n">
        <v>0.088</v>
      </c>
      <c r="AA6" s="3" t="n">
        <v>0.074</v>
      </c>
    </row>
    <row r="7" customFormat="false" ht="16.4" hidden="false" customHeight="false" outlineLevel="0" collapsed="false">
      <c r="A7" s="0" t="s">
        <v>14</v>
      </c>
      <c r="B7" s="0" t="n">
        <v>1</v>
      </c>
      <c r="C7" s="0" t="n">
        <f aca="false">C2-$AC$2</f>
        <v>-0.00295833333333334</v>
      </c>
      <c r="D7" s="0" t="n">
        <f aca="false">D2-$AC$2</f>
        <v>0.0360416666666667</v>
      </c>
      <c r="E7" s="0" t="n">
        <f aca="false">E2-$AC$2</f>
        <v>0.0460416666666667</v>
      </c>
      <c r="F7" s="0" t="n">
        <f aca="false">F2-$AC$2</f>
        <v>0.0560416666666667</v>
      </c>
      <c r="G7" s="0" t="n">
        <f aca="false">G2-$AC$2</f>
        <v>0.0850416666666667</v>
      </c>
      <c r="H7" s="0" t="n">
        <f aca="false">H2-$AC$2</f>
        <v>0.333041666666667</v>
      </c>
      <c r="I7" s="0" t="n">
        <f aca="false">I2-$AC$2</f>
        <v>0.501041666666667</v>
      </c>
      <c r="J7" s="0" t="n">
        <f aca="false">J2-$AC$2</f>
        <v>0.920041666666667</v>
      </c>
      <c r="K7" s="0" t="n">
        <f aca="false">K2-$AC$2</f>
        <v>1.16204166666667</v>
      </c>
      <c r="L7" s="0" t="n">
        <f aca="false">L2-$AC$2</f>
        <v>1.25804166666667</v>
      </c>
      <c r="M7" s="0" t="n">
        <f aca="false">M2-$AC$2</f>
        <v>1.32104166666667</v>
      </c>
      <c r="N7" s="0" t="n">
        <f aca="false">N2-$AC$2</f>
        <v>1.45404166666667</v>
      </c>
      <c r="O7" s="0" t="n">
        <f aca="false">O2-$AC$2</f>
        <v>1.38904166666667</v>
      </c>
      <c r="P7" s="0" t="n">
        <f aca="false">P2-$AC$2</f>
        <v>1.41804166666667</v>
      </c>
      <c r="Q7" s="0" t="n">
        <f aca="false">Q2-$AC$2</f>
        <v>1.41504166666667</v>
      </c>
      <c r="R7" s="0" t="n">
        <f aca="false">R2-$AC$2</f>
        <v>1.43604166666667</v>
      </c>
      <c r="S7" s="0" t="n">
        <f aca="false">S2-$AC$2</f>
        <v>1.40604166666667</v>
      </c>
      <c r="T7" s="0" t="n">
        <f aca="false">T2-$AC$2</f>
        <v>1.35404166666667</v>
      </c>
      <c r="U7" s="0" t="n">
        <f aca="false">U2-$AC$2</f>
        <v>1.40104166666667</v>
      </c>
      <c r="V7" s="0" t="n">
        <f aca="false">V2-$AC$2</f>
        <v>1.38404166666667</v>
      </c>
      <c r="W7" s="0" t="n">
        <f aca="false">W2-$AC$2</f>
        <v>1.35204166666667</v>
      </c>
      <c r="X7" s="0" t="n">
        <f aca="false">X2-$AC$2</f>
        <v>1.42104166666667</v>
      </c>
      <c r="Z7" s="3" t="n">
        <v>0.091</v>
      </c>
      <c r="AA7" s="3" t="n">
        <v>0.075</v>
      </c>
    </row>
    <row r="8" customFormat="false" ht="16.4" hidden="false" customHeight="false" outlineLevel="0" collapsed="false">
      <c r="A8" s="0" t="s">
        <v>14</v>
      </c>
      <c r="B8" s="0" t="n">
        <v>2</v>
      </c>
      <c r="C8" s="0" t="n">
        <f aca="false">C3-$AC$2</f>
        <v>0.00204166666666665</v>
      </c>
      <c r="D8" s="0" t="n">
        <f aca="false">D3-$AC$2</f>
        <v>0.0260416666666667</v>
      </c>
      <c r="E8" s="0" t="n">
        <f aca="false">E3-$AC$2</f>
        <v>0.0360416666666667</v>
      </c>
      <c r="F8" s="0" t="n">
        <f aca="false">F3-$AC$2</f>
        <v>0.0520416666666667</v>
      </c>
      <c r="G8" s="0" t="n">
        <f aca="false">G3-$AC$2</f>
        <v>0.0850416666666667</v>
      </c>
      <c r="H8" s="0" t="n">
        <f aca="false">H3-$AC$2</f>
        <v>0.342041666666667</v>
      </c>
      <c r="I8" s="0" t="n">
        <f aca="false">I3-$AC$2</f>
        <v>0.471041666666667</v>
      </c>
      <c r="J8" s="0" t="n">
        <f aca="false">J3-$AC$2</f>
        <v>0.912041666666667</v>
      </c>
      <c r="K8" s="0" t="n">
        <f aca="false">K3-$AC$2</f>
        <v>1.18104166666667</v>
      </c>
      <c r="L8" s="0" t="n">
        <f aca="false">L3-$AC$2</f>
        <v>1.30304166666667</v>
      </c>
      <c r="M8" s="0" t="n">
        <f aca="false">M3-$AC$2</f>
        <v>1.29604166666667</v>
      </c>
      <c r="N8" s="0" t="n">
        <f aca="false">N3-$AC$2</f>
        <v>1.40904166666667</v>
      </c>
      <c r="O8" s="0" t="n">
        <f aca="false">O3-$AC$2</f>
        <v>1.42604166666667</v>
      </c>
      <c r="P8" s="0" t="n">
        <f aca="false">P3-$AC$2</f>
        <v>1.41804166666667</v>
      </c>
      <c r="Q8" s="0" t="n">
        <f aca="false">Q3-$AC$2</f>
        <v>1.44204166666667</v>
      </c>
      <c r="R8" s="0" t="n">
        <f aca="false">R3-$AC$2</f>
        <v>1.41104166666667</v>
      </c>
      <c r="S8" s="0" t="n">
        <f aca="false">S3-$AC$2</f>
        <v>1.43004166666667</v>
      </c>
      <c r="T8" s="0" t="n">
        <f aca="false">T3-$AC$2</f>
        <v>1.42204166666667</v>
      </c>
      <c r="U8" s="0" t="n">
        <f aca="false">U3-$AC$2</f>
        <v>1.41804166666667</v>
      </c>
      <c r="V8" s="0" t="n">
        <f aca="false">V3-$AC$2</f>
        <v>1.41204166666667</v>
      </c>
      <c r="W8" s="0" t="n">
        <f aca="false">W3-$AC$2</f>
        <v>1.39904166666667</v>
      </c>
      <c r="X8" s="0" t="n">
        <f aca="false">X3-$AC$2</f>
        <v>1.46004166666667</v>
      </c>
      <c r="Z8" s="3" t="n">
        <v>0.086</v>
      </c>
      <c r="AA8" s="3" t="n">
        <v>0.075</v>
      </c>
    </row>
    <row r="9" customFormat="false" ht="16.4" hidden="false" customHeight="false" outlineLevel="0" collapsed="false">
      <c r="A9" s="0" t="s">
        <v>14</v>
      </c>
      <c r="B9" s="0" t="n">
        <v>3</v>
      </c>
      <c r="C9" s="0" t="n">
        <f aca="false">C4-$AC$2</f>
        <v>0.00604166666666665</v>
      </c>
      <c r="D9" s="0" t="n">
        <f aca="false">D4-$AC$2</f>
        <v>0.0350416666666667</v>
      </c>
      <c r="E9" s="0" t="n">
        <f aca="false">E4-$AC$2</f>
        <v>0.0380416666666667</v>
      </c>
      <c r="F9" s="0" t="n">
        <f aca="false">F4-$AC$2</f>
        <v>0.0500416666666667</v>
      </c>
      <c r="G9" s="0" t="n">
        <f aca="false">G4-$AC$2</f>
        <v>0.0940416666666667</v>
      </c>
      <c r="H9" s="0" t="n">
        <f aca="false">H4-$AC$2</f>
        <v>0.296041666666667</v>
      </c>
      <c r="I9" s="0" t="n">
        <f aca="false">I4-$AC$2</f>
        <v>0.464041666666667</v>
      </c>
      <c r="J9" s="0" t="n">
        <f aca="false">J4-$AC$2</f>
        <v>0.866041666666667</v>
      </c>
      <c r="K9" s="0" t="n">
        <f aca="false">K4-$AC$2</f>
        <v>1.17504166666667</v>
      </c>
      <c r="L9" s="0" t="n">
        <f aca="false">L4-$AC$2</f>
        <v>1.30704166666667</v>
      </c>
      <c r="M9" s="0" t="n">
        <f aca="false">M4-$AC$2</f>
        <v>1.33104166666667</v>
      </c>
      <c r="N9" s="0" t="n">
        <f aca="false">N4-$AC$2</f>
        <v>1.44604166666667</v>
      </c>
      <c r="O9" s="0" t="n">
        <f aca="false">O4-$AC$2</f>
        <v>1.46704166666667</v>
      </c>
      <c r="P9" s="0" t="n">
        <f aca="false">P4-$AC$2</f>
        <v>1.45404166666667</v>
      </c>
      <c r="Q9" s="0" t="n">
        <f aca="false">Q4-$AC$2</f>
        <v>1.44204166666667</v>
      </c>
      <c r="R9" s="0" t="n">
        <f aca="false">R4-$AC$2</f>
        <v>1.46804166666667</v>
      </c>
      <c r="S9" s="0" t="n">
        <f aca="false">S4-$AC$2</f>
        <v>1.46104166666667</v>
      </c>
      <c r="T9" s="0" t="n">
        <f aca="false">T4-$AC$2</f>
        <v>1.42604166666667</v>
      </c>
      <c r="U9" s="0" t="n">
        <f aca="false">U4-$AC$2</f>
        <v>1.41404166666667</v>
      </c>
      <c r="V9" s="0" t="n">
        <f aca="false">V4-$AC$2</f>
        <v>1.42304166666667</v>
      </c>
      <c r="W9" s="0" t="n">
        <f aca="false">W4-$AC$2</f>
        <v>1.45804166666667</v>
      </c>
      <c r="X9" s="0" t="n">
        <f aca="false">X4-$AC$2</f>
        <v>1.44204166666667</v>
      </c>
      <c r="Z9" s="3" t="n">
        <v>0.086</v>
      </c>
      <c r="AA9" s="3" t="n">
        <v>0.079</v>
      </c>
    </row>
    <row r="10" customFormat="false" ht="14.25" hidden="false" customHeight="false" outlineLevel="0" collapsed="false">
      <c r="Z10" s="3" t="n">
        <v>0.085</v>
      </c>
      <c r="AA10" s="3" t="n">
        <v>0.074</v>
      </c>
    </row>
    <row r="11" customFormat="false" ht="14.25" hidden="false" customHeight="false" outlineLevel="0" collapsed="false">
      <c r="Z11" s="3" t="n">
        <v>0.085</v>
      </c>
      <c r="AA11" s="3" t="n">
        <v>0.076</v>
      </c>
    </row>
    <row r="12" customFormat="false" ht="14.25" hidden="false" customHeight="false" outlineLevel="0" collapsed="false">
      <c r="A12" s="12" t="s">
        <v>16</v>
      </c>
      <c r="C12" s="0" t="n">
        <v>128</v>
      </c>
      <c r="D12" s="0" t="n">
        <f aca="false">C12/2</f>
        <v>64</v>
      </c>
      <c r="E12" s="0" t="n">
        <f aca="false">D12/2</f>
        <v>32</v>
      </c>
      <c r="F12" s="0" t="n">
        <f aca="false">E12/2</f>
        <v>16</v>
      </c>
      <c r="G12" s="0" t="n">
        <f aca="false">F12/2</f>
        <v>8</v>
      </c>
      <c r="H12" s="0" t="n">
        <f aca="false">G12/2</f>
        <v>4</v>
      </c>
      <c r="I12" s="0" t="n">
        <f aca="false">H12/2</f>
        <v>2</v>
      </c>
      <c r="J12" s="0" t="n">
        <f aca="false">I12/2</f>
        <v>1</v>
      </c>
      <c r="K12" s="0" t="n">
        <f aca="false">J12/2</f>
        <v>0.5</v>
      </c>
      <c r="L12" s="0" t="n">
        <f aca="false">K12/2</f>
        <v>0.25</v>
      </c>
      <c r="M12" s="0" t="n">
        <f aca="false">L12/2</f>
        <v>0.125</v>
      </c>
      <c r="N12" s="0" t="n">
        <f aca="false">M12/2</f>
        <v>0.0625</v>
      </c>
      <c r="O12" s="0" t="n">
        <f aca="false">N12/2</f>
        <v>0.03125</v>
      </c>
      <c r="P12" s="0" t="n">
        <f aca="false">O12/2</f>
        <v>0.015625</v>
      </c>
      <c r="Q12" s="0" t="n">
        <f aca="false">P12/2</f>
        <v>0.0078125</v>
      </c>
      <c r="R12" s="0" t="n">
        <f aca="false">Q12/2</f>
        <v>0.00390625</v>
      </c>
      <c r="S12" s="0" t="n">
        <f aca="false">R12/2</f>
        <v>0.001953125</v>
      </c>
      <c r="T12" s="0" t="n">
        <f aca="false">S12/2</f>
        <v>0.0009765625</v>
      </c>
      <c r="U12" s="0" t="n">
        <f aca="false">T12/2</f>
        <v>0.00048828125</v>
      </c>
      <c r="V12" s="0" t="n">
        <f aca="false">U12/2</f>
        <v>0.000244140625</v>
      </c>
      <c r="W12" s="0" t="n">
        <f aca="false">V12/2</f>
        <v>0.0001220703125</v>
      </c>
      <c r="Z12" s="3" t="n">
        <v>0.081</v>
      </c>
      <c r="AA12" s="3" t="n">
        <v>0.075</v>
      </c>
    </row>
    <row r="13" customFormat="false" ht="14.25" hidden="false" customHeight="false" outlineLevel="0" collapsed="false">
      <c r="A13" s="0" t="s">
        <v>14</v>
      </c>
      <c r="B13" s="0" t="n">
        <v>1</v>
      </c>
      <c r="C13" s="0" t="n">
        <f aca="false">100-MIN((MAX(C7,0)/$X$7)*100,100)</f>
        <v>100</v>
      </c>
      <c r="D13" s="0" t="n">
        <f aca="false">100-MIN((MAX(D7,0)/$X$7)*100,100)</f>
        <v>97.4637149978009</v>
      </c>
      <c r="E13" s="0" t="n">
        <f aca="false">100-MIN((MAX(E7,0)/$X$7)*100,100)</f>
        <v>96.7600058642428</v>
      </c>
      <c r="F13" s="0" t="n">
        <f aca="false">100-MIN((MAX(F7,0)/$X$7)*100,100)</f>
        <v>96.0562967306847</v>
      </c>
      <c r="G13" s="13" t="n">
        <f aca="false">100-MIN((MAX(G7,0)/$X$7)*100,100)</f>
        <v>94.0155402433661</v>
      </c>
      <c r="H13" s="13" t="n">
        <f aca="false">100-MIN((MAX(H7,0)/$X$7)*100,100)</f>
        <v>76.5635537311245</v>
      </c>
      <c r="I13" s="0" t="n">
        <f aca="false">100-MIN((MAX(I7,0)/$X$7)*100,100)</f>
        <v>64.7412402873479</v>
      </c>
      <c r="J13" s="0" t="n">
        <f aca="false">100-MIN((MAX(J7,0)/$X$7)*100,100)</f>
        <v>35.2558275912623</v>
      </c>
      <c r="K13" s="0" t="n">
        <f aca="false">100-MIN((MAX(K7,0)/$X$7)*100,100)</f>
        <v>18.2260665591555</v>
      </c>
      <c r="L13" s="0" t="n">
        <f aca="false">100-MIN((MAX(L7,0)/$X$7)*100,100)</f>
        <v>11.4704588769975</v>
      </c>
      <c r="M13" s="0" t="n">
        <f aca="false">100-MIN((MAX(M7,0)/$X$7)*100,100)</f>
        <v>7.03709133558128</v>
      </c>
      <c r="N13" s="0" t="n">
        <f aca="false">100-MIN((MAX(N7,0)/$X$7)*100,100)</f>
        <v>0</v>
      </c>
      <c r="O13" s="0" t="n">
        <f aca="false">100-MIN((MAX(O7,0)/$X$7)*100,100)</f>
        <v>2.25186922738601</v>
      </c>
      <c r="P13" s="0" t="n">
        <f aca="false">100-MIN((MAX(P7,0)/$X$7)*100,100)</f>
        <v>0.211112740067435</v>
      </c>
      <c r="Q13" s="0" t="n">
        <f aca="false">100-MIN((MAX(Q7,0)/$X$7)*100,100)</f>
        <v>0.42222548013487</v>
      </c>
      <c r="R13" s="0" t="n">
        <f aca="false">100-MIN((MAX(R7,0)/$X$7)*100,100)</f>
        <v>0</v>
      </c>
      <c r="S13" s="0" t="n">
        <f aca="false">100-MIN((MAX(S7,0)/$X$7)*100,100)</f>
        <v>1.05556370033719</v>
      </c>
      <c r="T13" s="0" t="n">
        <f aca="false">100-MIN((MAX(T7,0)/$X$7)*100,100)</f>
        <v>4.71485119483947</v>
      </c>
      <c r="U13" s="0" t="n">
        <f aca="false">100-MIN((MAX(U7,0)/$X$7)*100,100)</f>
        <v>1.40741826711624</v>
      </c>
      <c r="V13" s="0" t="n">
        <f aca="false">100-MIN((MAX(V7,0)/$X$7)*100,100)</f>
        <v>2.60372379416506</v>
      </c>
      <c r="W13" s="0" t="n">
        <f aca="false">100-MIN((MAX(W7,0)/$X$7)*100,100)</f>
        <v>4.85559302155109</v>
      </c>
      <c r="Z13" s="3" t="n">
        <v>0.083</v>
      </c>
      <c r="AA13" s="3" t="n">
        <v>0.075</v>
      </c>
    </row>
    <row r="14" customFormat="false" ht="14.25" hidden="false" customHeight="false" outlineLevel="0" collapsed="false">
      <c r="A14" s="0" t="s">
        <v>14</v>
      </c>
      <c r="B14" s="0" t="n">
        <v>2</v>
      </c>
      <c r="C14" s="0" t="n">
        <f aca="false">100-MIN((MAX(C8,0)/$X$8)*100,100)</f>
        <v>99.8601638081105</v>
      </c>
      <c r="D14" s="0" t="n">
        <f aca="false">100-MIN((MAX(D8,0)/$X$8)*100,100)</f>
        <v>98.2163751034503</v>
      </c>
      <c r="E14" s="0" t="n">
        <f aca="false">100-MIN((MAX(E8,0)/$X$8)*100,100)</f>
        <v>97.5314631431752</v>
      </c>
      <c r="F14" s="0" t="n">
        <f aca="false">100-MIN((MAX(F8,0)/$X$8)*100,100)</f>
        <v>96.435604006735</v>
      </c>
      <c r="G14" s="13" t="n">
        <f aca="false">100-MIN((MAX(G8,0)/$X$8)*100,100)</f>
        <v>94.1753945378271</v>
      </c>
      <c r="H14" s="13" t="n">
        <f aca="false">100-MIN((MAX(H8,0)/$X$8)*100,100)</f>
        <v>76.5731571587569</v>
      </c>
      <c r="I14" s="0" t="n">
        <f aca="false">100-MIN((MAX(I8,0)/$X$8)*100,100)</f>
        <v>67.737792871208</v>
      </c>
      <c r="J14" s="0" t="n">
        <f aca="false">100-MIN((MAX(J8,0)/$X$8)*100,100)</f>
        <v>37.5331754230758</v>
      </c>
      <c r="K14" s="0" t="n">
        <f aca="false">100-MIN((MAX(K8,0)/$X$8)*100,100)</f>
        <v>19.1090436916755</v>
      </c>
      <c r="L14" s="0" t="n">
        <f aca="false">100-MIN((MAX(L8,0)/$X$8)*100,100)</f>
        <v>10.7531177763192</v>
      </c>
      <c r="M14" s="0" t="n">
        <f aca="false">100-MIN((MAX(M8,0)/$X$8)*100,100)</f>
        <v>11.2325561485117</v>
      </c>
      <c r="N14" s="0" t="n">
        <f aca="false">100-MIN((MAX(N8,0)/$X$8)*100,100)</f>
        <v>3.49305099740303</v>
      </c>
      <c r="O14" s="0" t="n">
        <f aca="false">100-MIN((MAX(O8,0)/$X$8)*100,100)</f>
        <v>2.32870066493537</v>
      </c>
      <c r="P14" s="0" t="n">
        <f aca="false">100-MIN((MAX(P8,0)/$X$8)*100,100)</f>
        <v>2.87663023315545</v>
      </c>
      <c r="Q14" s="0" t="n">
        <f aca="false">100-MIN((MAX(Q8,0)/$X$8)*100,100)</f>
        <v>1.23284152849519</v>
      </c>
      <c r="R14" s="0" t="n">
        <f aca="false">100-MIN((MAX(R8,0)/$X$8)*100,100)</f>
        <v>3.35606860534801</v>
      </c>
      <c r="S14" s="0" t="n">
        <f aca="false">100-MIN((MAX(S8,0)/$X$8)*100,100)</f>
        <v>2.05473588082532</v>
      </c>
      <c r="T14" s="0" t="n">
        <f aca="false">100-MIN((MAX(T8,0)/$X$8)*100,100)</f>
        <v>2.6026654490454</v>
      </c>
      <c r="U14" s="0" t="n">
        <f aca="false">100-MIN((MAX(U8,0)/$X$8)*100,100)</f>
        <v>2.87663023315545</v>
      </c>
      <c r="V14" s="0" t="n">
        <f aca="false">100-MIN((MAX(V8,0)/$X$8)*100,100)</f>
        <v>3.28757740932051</v>
      </c>
      <c r="W14" s="0" t="n">
        <f aca="false">100-MIN((MAX(W8,0)/$X$8)*100,100)</f>
        <v>4.17796295767815</v>
      </c>
    </row>
    <row r="15" customFormat="false" ht="14.25" hidden="false" customHeight="false" outlineLevel="0" collapsed="false">
      <c r="A15" s="0" t="s">
        <v>14</v>
      </c>
      <c r="B15" s="0" t="n">
        <v>3</v>
      </c>
      <c r="C15" s="0" t="n">
        <f aca="false">100-MIN((MAX(C9,0)/$X$9)*100,100)</f>
        <v>99.5810338351296</v>
      </c>
      <c r="D15" s="0" t="n">
        <f aca="false">100-MIN((MAX(D9,0)/$X$9)*100,100)</f>
        <v>97.5699962437516</v>
      </c>
      <c r="E15" s="0" t="n">
        <f aca="false">100-MIN((MAX(E9,0)/$X$9)*100,100)</f>
        <v>97.3619578722298</v>
      </c>
      <c r="F15" s="0" t="n">
        <f aca="false">100-MIN((MAX(F9,0)/$X$9)*100,100)</f>
        <v>96.5298043861423</v>
      </c>
      <c r="G15" s="13" t="n">
        <f aca="false">100-MIN((MAX(G9,0)/$X$9)*100,100)</f>
        <v>93.4785749371551</v>
      </c>
      <c r="H15" s="13" t="n">
        <f aca="false">100-MIN((MAX(H9,0)/$X$9)*100,100)</f>
        <v>79.4706579213499</v>
      </c>
      <c r="I15" s="0" t="n">
        <f aca="false">100-MIN((MAX(I9,0)/$X$9)*100,100)</f>
        <v>67.8205091161259</v>
      </c>
      <c r="J15" s="0" t="n">
        <f aca="false">100-MIN((MAX(J9,0)/$X$9)*100,100)</f>
        <v>39.9433673321968</v>
      </c>
      <c r="K15" s="0" t="n">
        <f aca="false">100-MIN((MAX(K9,0)/$X$9)*100,100)</f>
        <v>18.5154150654454</v>
      </c>
      <c r="L15" s="0" t="n">
        <f aca="false">100-MIN((MAX(L9,0)/$X$9)*100,100)</f>
        <v>9.36172671848364</v>
      </c>
      <c r="M15" s="0" t="n">
        <f aca="false">100-MIN((MAX(M9,0)/$X$9)*100,100)</f>
        <v>7.69741974630877</v>
      </c>
      <c r="N15" s="0" t="n">
        <f aca="false">100-MIN((MAX(N9,0)/$X$9)*100,100)</f>
        <v>0</v>
      </c>
      <c r="O15" s="0" t="n">
        <f aca="false">100-MIN((MAX(O9,0)/$X$9)*100,100)</f>
        <v>0</v>
      </c>
      <c r="P15" s="0" t="n">
        <f aca="false">100-MIN((MAX(P9,0)/$X$9)*100,100)</f>
        <v>0</v>
      </c>
      <c r="Q15" s="0" t="n">
        <f aca="false">100-MIN((MAX(Q9,0)/$X$9)*100,100)</f>
        <v>0</v>
      </c>
      <c r="R15" s="0" t="n">
        <f aca="false">100-MIN((MAX(R9,0)/$X$9)*100,100)</f>
        <v>0</v>
      </c>
      <c r="S15" s="0" t="n">
        <f aca="false">100-MIN((MAX(S9,0)/$X$9)*100,100)</f>
        <v>0</v>
      </c>
      <c r="T15" s="0" t="n">
        <f aca="false">100-MIN((MAX(T9,0)/$X$9)*100,100)</f>
        <v>1.10953798144992</v>
      </c>
      <c r="U15" s="0" t="n">
        <f aca="false">100-MIN((MAX(U9,0)/$X$9)*100,100)</f>
        <v>1.94169146753734</v>
      </c>
      <c r="V15" s="0" t="n">
        <f aca="false">100-MIN((MAX(V9,0)/$X$9)*100,100)</f>
        <v>1.31757635297178</v>
      </c>
      <c r="W15" s="0" t="n">
        <f aca="false">100-MIN((MAX(W9,0)/$X$9)*100,100)</f>
        <v>0</v>
      </c>
    </row>
    <row r="16" customFormat="false" ht="14.25" hidden="false" customHeight="false" outlineLevel="0" collapsed="false">
      <c r="G16" s="13"/>
      <c r="H16" s="13"/>
    </row>
    <row r="17" customFormat="false" ht="14.25" hidden="false" customHeight="false" outlineLevel="0" collapsed="false">
      <c r="A17" s="0" t="s">
        <v>17</v>
      </c>
      <c r="C17" s="0" t="n">
        <f aca="false">AVERAGE(C13:C15)</f>
        <v>99.8137325477467</v>
      </c>
      <c r="D17" s="0" t="n">
        <f aca="false">AVERAGE(D13:D15)</f>
        <v>97.7500287816676</v>
      </c>
      <c r="E17" s="0" t="n">
        <f aca="false">AVERAGE(E13:E15)</f>
        <v>97.2178089598826</v>
      </c>
      <c r="F17" s="0" t="n">
        <f aca="false">AVERAGE(F13:F15)</f>
        <v>96.3405683745207</v>
      </c>
      <c r="G17" s="13" t="n">
        <f aca="false">AVERAGE(G13:G15)</f>
        <v>93.8898365727828</v>
      </c>
      <c r="H17" s="13" t="n">
        <f aca="false">AVERAGE(H13:H15)</f>
        <v>77.5357896037438</v>
      </c>
      <c r="I17" s="0" t="n">
        <f aca="false">AVERAGE(I13:I15)</f>
        <v>66.7665140915606</v>
      </c>
      <c r="J17" s="0" t="n">
        <f aca="false">AVERAGE(J13:J15)</f>
        <v>37.5774567821783</v>
      </c>
      <c r="K17" s="0" t="n">
        <f aca="false">AVERAGE(K13:K15)</f>
        <v>18.6168417720921</v>
      </c>
      <c r="L17" s="0" t="n">
        <f aca="false">AVERAGE(L13:L15)</f>
        <v>10.5284344572668</v>
      </c>
      <c r="M17" s="0" t="n">
        <f aca="false">AVERAGE(M13:M15)</f>
        <v>8.6556890768006</v>
      </c>
      <c r="N17" s="0" t="n">
        <f aca="false">AVERAGE(N13:N15)</f>
        <v>1.16435033246768</v>
      </c>
      <c r="O17" s="0" t="n">
        <f aca="false">AVERAGE(O13:O15)</f>
        <v>1.52685663077379</v>
      </c>
      <c r="P17" s="0" t="n">
        <f aca="false">AVERAGE(P13:P15)</f>
        <v>1.02924765774096</v>
      </c>
      <c r="Q17" s="0" t="n">
        <f aca="false">AVERAGE(Q13:Q15)</f>
        <v>0.551689002876685</v>
      </c>
      <c r="R17" s="0" t="n">
        <f aca="false">AVERAGE(R13:R15)</f>
        <v>1.118689535116</v>
      </c>
      <c r="S17" s="0" t="n">
        <f aca="false">AVERAGE(S13:S15)</f>
        <v>1.03676652705417</v>
      </c>
      <c r="T17" s="0" t="n">
        <f aca="false">AVERAGE(T13:T15)</f>
        <v>2.80901820844493</v>
      </c>
      <c r="U17" s="0" t="n">
        <f aca="false">AVERAGE(U13:U15)</f>
        <v>2.07524665593634</v>
      </c>
      <c r="V17" s="0" t="n">
        <f aca="false">AVERAGE(V13:V15)</f>
        <v>2.40295918548578</v>
      </c>
      <c r="W17" s="0" t="n">
        <f aca="false">AVERAGE(W13:W15)</f>
        <v>3.01118532640975</v>
      </c>
    </row>
    <row r="18" customFormat="false" ht="14.25" hidden="false" customHeight="false" outlineLevel="0" collapsed="false">
      <c r="G18" s="13"/>
      <c r="H18" s="13"/>
    </row>
  </sheetData>
  <conditionalFormatting sqref="C7:X9">
    <cfRule type="cellIs" priority="2" operator="greaterThanOrEqual" aboveAverage="0" equalAverage="0" bottom="0" percent="0" rank="0" text="" dxfId="0">
      <formula>$AE$2</formula>
    </cfRule>
    <cfRule type="cellIs" priority="3" operator="lessThan" aboveAverage="0" equalAverage="0" bottom="0" percent="0" rank="0" text="" dxfId="1">
      <formula>$AE$2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160156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16</v>
      </c>
      <c r="B1" s="0" t="s">
        <v>18</v>
      </c>
      <c r="C1" s="0" t="n">
        <v>128</v>
      </c>
      <c r="D1" s="0" t="n">
        <v>64</v>
      </c>
      <c r="E1" s="0" t="n">
        <v>32</v>
      </c>
      <c r="F1" s="0" t="n">
        <v>16</v>
      </c>
      <c r="G1" s="0" t="n">
        <v>8</v>
      </c>
      <c r="H1" s="0" t="n">
        <v>4</v>
      </c>
      <c r="I1" s="0" t="n">
        <v>2</v>
      </c>
      <c r="J1" s="0" t="n">
        <v>1</v>
      </c>
      <c r="K1" s="0" t="n">
        <v>0.5</v>
      </c>
      <c r="L1" s="0" t="n">
        <v>0.25</v>
      </c>
      <c r="M1" s="0" t="n">
        <v>0.125</v>
      </c>
      <c r="N1" s="0" t="n">
        <v>0.0625</v>
      </c>
      <c r="O1" s="0" t="n">
        <v>0.03125</v>
      </c>
      <c r="P1" s="0" t="n">
        <v>0.015625</v>
      </c>
      <c r="Q1" s="0" t="n">
        <v>0.0078125</v>
      </c>
      <c r="R1" s="0" t="n">
        <v>0.00390625</v>
      </c>
      <c r="S1" s="0" t="n">
        <v>0.001953125</v>
      </c>
      <c r="T1" s="0" t="n">
        <v>0.0009765625</v>
      </c>
      <c r="U1" s="0" t="n">
        <v>0.00048828125</v>
      </c>
      <c r="V1" s="0" t="n">
        <v>0.000244140625</v>
      </c>
      <c r="W1" s="0" t="n">
        <v>0.0001220703125</v>
      </c>
    </row>
    <row r="2" customFormat="false" ht="13.8" hidden="false" customHeight="false" outlineLevel="0" collapsed="false">
      <c r="A2" s="0" t="s">
        <v>14</v>
      </c>
      <c r="B2" s="0" t="n">
        <v>1</v>
      </c>
      <c r="C2" s="0" t="n">
        <v>100</v>
      </c>
      <c r="D2" s="0" t="n">
        <v>97.4637149978009</v>
      </c>
      <c r="E2" s="0" t="n">
        <v>96.7600058642428</v>
      </c>
      <c r="F2" s="0" t="n">
        <v>96.0562967306847</v>
      </c>
      <c r="G2" s="0" t="n">
        <v>94.0155402433661</v>
      </c>
      <c r="H2" s="0" t="n">
        <v>76.5635537311245</v>
      </c>
      <c r="I2" s="0" t="n">
        <v>64.7412402873479</v>
      </c>
      <c r="J2" s="0" t="n">
        <v>35.2558275912623</v>
      </c>
      <c r="K2" s="0" t="n">
        <v>18.2260665591555</v>
      </c>
      <c r="L2" s="0" t="n">
        <v>11.4704588769975</v>
      </c>
      <c r="M2" s="0" t="n">
        <v>7.03709133558128</v>
      </c>
      <c r="N2" s="0" t="n">
        <v>0</v>
      </c>
      <c r="O2" s="0" t="n">
        <v>2.25186922738601</v>
      </c>
      <c r="P2" s="0" t="n">
        <v>0.211112740067435</v>
      </c>
      <c r="Q2" s="0" t="n">
        <v>0.42222548013487</v>
      </c>
      <c r="R2" s="0" t="n">
        <v>0</v>
      </c>
      <c r="S2" s="0" t="n">
        <v>1.05556370033719</v>
      </c>
      <c r="T2" s="0" t="n">
        <v>4.71485119483947</v>
      </c>
      <c r="U2" s="0" t="n">
        <v>1.40741826711624</v>
      </c>
      <c r="V2" s="0" t="n">
        <v>2.60372379416506</v>
      </c>
      <c r="W2" s="0" t="n">
        <v>4.85559302155109</v>
      </c>
    </row>
    <row r="3" customFormat="false" ht="13.8" hidden="false" customHeight="false" outlineLevel="0" collapsed="false">
      <c r="A3" s="0" t="s">
        <v>14</v>
      </c>
      <c r="B3" s="0" t="n">
        <v>2</v>
      </c>
      <c r="C3" s="0" t="n">
        <v>99.8601638081105</v>
      </c>
      <c r="D3" s="0" t="n">
        <v>98.2163751034503</v>
      </c>
      <c r="E3" s="0" t="n">
        <v>97.5314631431752</v>
      </c>
      <c r="F3" s="0" t="n">
        <v>96.435604006735</v>
      </c>
      <c r="G3" s="0" t="n">
        <v>94.1753945378271</v>
      </c>
      <c r="H3" s="0" t="n">
        <v>76.5731571587569</v>
      </c>
      <c r="I3" s="0" t="n">
        <v>67.737792871208</v>
      </c>
      <c r="J3" s="0" t="n">
        <v>37.5331754230758</v>
      </c>
      <c r="K3" s="0" t="n">
        <v>19.1090436916755</v>
      </c>
      <c r="L3" s="0" t="n">
        <v>10.7531177763192</v>
      </c>
      <c r="M3" s="0" t="n">
        <v>11.2325561485117</v>
      </c>
      <c r="N3" s="0" t="n">
        <v>3.49305099740303</v>
      </c>
      <c r="O3" s="0" t="n">
        <v>2.32870066493537</v>
      </c>
      <c r="P3" s="0" t="n">
        <v>2.87663023315545</v>
      </c>
      <c r="Q3" s="0" t="n">
        <v>1.23284152849519</v>
      </c>
      <c r="R3" s="0" t="n">
        <v>3.35606860534801</v>
      </c>
      <c r="S3" s="0" t="n">
        <v>2.05473588082532</v>
      </c>
      <c r="T3" s="0" t="n">
        <v>2.6026654490454</v>
      </c>
      <c r="U3" s="0" t="n">
        <v>2.87663023315545</v>
      </c>
      <c r="V3" s="0" t="n">
        <v>3.28757740932051</v>
      </c>
      <c r="W3" s="0" t="n">
        <v>4.17796295767815</v>
      </c>
    </row>
    <row r="4" customFormat="false" ht="13.8" hidden="false" customHeight="false" outlineLevel="0" collapsed="false">
      <c r="A4" s="0" t="s">
        <v>14</v>
      </c>
      <c r="B4" s="0" t="n">
        <v>3</v>
      </c>
      <c r="C4" s="0" t="n">
        <v>99.5810338351296</v>
      </c>
      <c r="D4" s="0" t="n">
        <v>97.5699962437516</v>
      </c>
      <c r="E4" s="0" t="n">
        <v>97.3619578722298</v>
      </c>
      <c r="F4" s="0" t="n">
        <v>96.5298043861423</v>
      </c>
      <c r="G4" s="0" t="n">
        <v>93.4785749371551</v>
      </c>
      <c r="H4" s="0" t="n">
        <v>79.4706579213499</v>
      </c>
      <c r="I4" s="0" t="n">
        <v>67.8205091161259</v>
      </c>
      <c r="J4" s="0" t="n">
        <v>39.9433673321968</v>
      </c>
      <c r="K4" s="0" t="n">
        <v>18.5154150654454</v>
      </c>
      <c r="L4" s="0" t="n">
        <v>9.36172671848364</v>
      </c>
      <c r="M4" s="0" t="n">
        <v>7.69741974630877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1.10953798144992</v>
      </c>
      <c r="U4" s="0" t="n">
        <v>1.94169146753734</v>
      </c>
      <c r="V4" s="0" t="n">
        <v>1.31757635297178</v>
      </c>
      <c r="W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2025-12-05T11:15:37Z</dcterms:created>
  <dc:creator>Fran Gilis</dc:creator>
  <dc:description/>
  <dc:language>en-US</dc:language>
  <cp:lastModifiedBy/>
  <dcterms:modified xsi:type="dcterms:W3CDTF">2025-12-11T11:44:08Z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